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la.maia\Desktop\RAFA\PESSOAL\"/>
    </mc:Choice>
  </mc:AlternateContent>
  <xr:revisionPtr revIDLastSave="0" documentId="13_ncr:1_{5F5430C1-4715-49EF-AC6E-249497469C40}" xr6:coauthVersionLast="47" xr6:coauthVersionMax="47" xr10:uidLastSave="{00000000-0000-0000-0000-000000000000}"/>
  <bookViews>
    <workbookView xWindow="-120" yWindow="-120" windowWidth="20730" windowHeight="11040" tabRatio="0" xr2:uid="{875B4176-F5A6-43D9-A7F9-6B8081D0F093}"/>
  </bookViews>
  <sheets>
    <sheet name="SIMULADOR" sheetId="1" r:id="rId1"/>
    <sheet name="SIMULADOR APORTE" sheetId="3" r:id="rId2"/>
    <sheet name="Planilha2" sheetId="2" r:id="rId3"/>
  </sheets>
  <definedNames>
    <definedName name="Aporte" localSheetId="1">'SIMULADOR APORTE'!$D$17</definedName>
    <definedName name="Aporte">SIMULADOR!$D$12</definedName>
    <definedName name="Patrimonio" localSheetId="1">'SIMULADOR APORTE'!$D$20</definedName>
    <definedName name="Patrimonio">SIMULADOR!$D$15</definedName>
    <definedName name="Qtd_anos" localSheetId="1">'SIMULADOR APORTE'!$D$18</definedName>
    <definedName name="Qtd_anos">SIMULADOR!$D$13</definedName>
    <definedName name="Rendimento" localSheetId="1">'SIMULADOR APORTE'!$D$13</definedName>
    <definedName name="Rendimento">SIMULADOR!$H$13</definedName>
    <definedName name="rendimento_carteira" localSheetId="1">'SIMULADOR APORTE'!$D$17</definedName>
    <definedName name="rendimento_carteira">SIMULADOR!$D$12</definedName>
    <definedName name="Taxa_mensal" localSheetId="1">'SIMULADOR APORTE'!$D$19</definedName>
    <definedName name="Taxa_mensal">SIMULADOR!$D$14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0" i="3" l="1"/>
  <c r="C39" i="3"/>
  <c r="C38" i="3"/>
  <c r="C37" i="3"/>
  <c r="C36" i="3"/>
  <c r="C35" i="3"/>
  <c r="C32" i="3"/>
  <c r="C28" i="3"/>
  <c r="D28" i="3" s="1"/>
  <c r="C27" i="3"/>
  <c r="D27" i="3" s="1"/>
  <c r="C26" i="3"/>
  <c r="D26" i="3" s="1"/>
  <c r="C25" i="3"/>
  <c r="D25" i="3" s="1"/>
  <c r="C24" i="3"/>
  <c r="D24" i="3" s="1"/>
  <c r="D20" i="3"/>
  <c r="D21" i="3" s="1"/>
  <c r="D14" i="3"/>
  <c r="C31" i="1"/>
  <c r="C32" i="1"/>
  <c r="C33" i="1"/>
  <c r="C34" i="1"/>
  <c r="C35" i="1"/>
  <c r="C30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C27" i="1"/>
  <c r="C19" i="1"/>
  <c r="D19" i="1" s="1"/>
  <c r="C20" i="1"/>
  <c r="D20" i="1" s="1"/>
  <c r="C21" i="1"/>
  <c r="D21" i="1" s="1"/>
  <c r="C22" i="1"/>
  <c r="D22" i="1" s="1"/>
  <c r="C23" i="1"/>
  <c r="D23" i="1" s="1"/>
  <c r="D15" i="1"/>
  <c r="D16" i="1" s="1"/>
  <c r="H14" i="1"/>
  <c r="D35" i="3" l="1"/>
  <c r="D36" i="3"/>
  <c r="D37" i="3"/>
  <c r="D38" i="3"/>
  <c r="D39" i="3"/>
  <c r="D40" i="3"/>
  <c r="D41" i="3"/>
  <c r="D31" i="1"/>
  <c r="D33" i="1"/>
  <c r="D35" i="1"/>
  <c r="D34" i="1"/>
  <c r="D32" i="1"/>
  <c r="D30" i="1"/>
  <c r="D36" i="1" l="1"/>
</calcChain>
</file>

<file path=xl/sharedStrings.xml><?xml version="1.0" encoding="utf-8"?>
<sst xmlns="http://schemas.openxmlformats.org/spreadsheetml/2006/main" count="98" uniqueCount="34">
  <si>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</si>
  <si>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</si>
  <si>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</si>
  <si>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</si>
  <si>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</si>
  <si>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</si>
  <si>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</si>
  <si>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</si>
  <si>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</si>
  <si>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</si>
  <si>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</si>
  <si>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</si>
  <si>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</si>
  <si>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CONFIGURAÇÕES</t>
  </si>
  <si>
    <t>Salário</t>
  </si>
  <si>
    <t>Rendimento Carteira</t>
  </si>
  <si>
    <t>Sugestão de Investimento (30%)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</si>
  <si>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</si>
  <si>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</si>
  <si>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</si>
  <si>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</si>
  <si>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</si>
  <si>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</si>
  <si>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</si>
  <si>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</si>
  <si>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</si>
  <si>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</si>
  <si>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</si>
  <si>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</si>
  <si>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</si>
  <si>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</si>
  <si>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Moderado</t>
  </si>
  <si>
    <t>Agressivo</t>
  </si>
  <si>
    <t>VALOR A SER INVESTIDO MENSALMENTE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</si>
</sst>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 Semibold"/>
      <family val="2"/>
    </font>
    <font>
      <sz val="11"/>
      <color theme="1"/>
      <name val="Segoe UI"/>
      <family val="2"/>
    </font>
    <font>
      <b/>
      <sz val="18"/>
      <color theme="0"/>
      <name val="Segoe UI Semibold"/>
      <family val="2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7" borderId="0" applyNumberFormat="0" applyBorder="0" applyAlignment="0" applyProtection="0"/>
  </cellStyleXfs>
  <cellXfs count="64">
    <xf numFmtId="0" fontId="0" fillId="0" borderId="0" xfId="0"/>
    <xf numFmtId="164" fontId="5" fillId="0" borderId="16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10" fontId="5" fillId="0" borderId="18" xfId="0" applyNumberFormat="1" applyFont="1" applyBorder="1" applyAlignment="1">
      <alignment horizontal="center"/>
    </xf>
    <xf numFmtId="8" fontId="5" fillId="3" borderId="18" xfId="0" applyNumberFormat="1" applyFont="1" applyFill="1" applyBorder="1" applyAlignment="1">
      <alignment horizontal="center"/>
    </xf>
    <xf numFmtId="8" fontId="5" fillId="3" borderId="21" xfId="0" applyNumberFormat="1" applyFont="1" applyFill="1" applyBorder="1" applyAlignment="1">
      <alignment horizontal="center"/>
    </xf>
    <xf numFmtId="164" fontId="0" fillId="0" borderId="0" xfId="0" applyNumberFormat="1"/>
    <xf numFmtId="0" fontId="4" fillId="3" borderId="22" xfId="0" applyFont="1" applyFill="1" applyBorder="1" applyAlignment="1">
      <alignment horizontal="left" indent="3"/>
    </xf>
    <xf numFmtId="164" fontId="8" fillId="3" borderId="23" xfId="0" applyNumberFormat="1" applyFont="1" applyFill="1" applyBorder="1" applyAlignment="1">
      <alignment horizontal="center"/>
    </xf>
    <xf numFmtId="164" fontId="8" fillId="3" borderId="24" xfId="0" applyNumberFormat="1" applyFont="1" applyFill="1" applyBorder="1" applyAlignment="1">
      <alignment horizontal="center"/>
    </xf>
    <xf numFmtId="0" fontId="4" fillId="3" borderId="25" xfId="0" applyFont="1" applyFill="1" applyBorder="1" applyAlignment="1">
      <alignment horizontal="left" indent="3"/>
    </xf>
    <xf numFmtId="0" fontId="4" fillId="3" borderId="26" xfId="0" applyFont="1" applyFill="1" applyBorder="1" applyAlignment="1">
      <alignment horizontal="left" indent="3"/>
    </xf>
    <xf numFmtId="0" fontId="7" fillId="5" borderId="3" xfId="0" applyFont="1" applyFill="1" applyBorder="1" applyAlignment="1">
      <alignment horizontal="center" vertical="center"/>
    </xf>
    <xf numFmtId="0" fontId="2" fillId="0" borderId="0" xfId="0" applyFont="1"/>
    <xf numFmtId="164" fontId="8" fillId="3" borderId="27" xfId="0" applyNumberFormat="1" applyFont="1" applyFill="1" applyBorder="1" applyAlignment="1">
      <alignment horizontal="center"/>
    </xf>
    <xf numFmtId="164" fontId="8" fillId="3" borderId="28" xfId="0" applyNumberFormat="1" applyFont="1" applyFill="1" applyBorder="1" applyAlignment="1">
      <alignment horizontal="center"/>
    </xf>
    <xf numFmtId="164" fontId="8" fillId="0" borderId="6" xfId="1" applyNumberFormat="1" applyFont="1" applyBorder="1" applyAlignment="1">
      <alignment horizontal="center"/>
    </xf>
    <xf numFmtId="164" fontId="8" fillId="2" borderId="12" xfId="0" applyNumberFormat="1" applyFont="1" applyFill="1" applyBorder="1" applyAlignment="1">
      <alignment horizontal="center"/>
    </xf>
    <xf numFmtId="8" fontId="0" fillId="0" borderId="0" xfId="0" applyNumberFormat="1"/>
    <xf numFmtId="0" fontId="10" fillId="7" borderId="0" xfId="2"/>
    <xf numFmtId="0" fontId="10" fillId="7" borderId="0" xfId="2" applyAlignment="1">
      <alignment horizontal="center"/>
    </xf>
    <xf numFmtId="0" fontId="11" fillId="2" borderId="0" xfId="0" applyFont="1" applyFill="1"/>
    <xf numFmtId="164" fontId="11" fillId="2" borderId="0" xfId="1" applyNumberFormat="1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9" fontId="0" fillId="0" borderId="29" xfId="0" applyNumberFormat="1" applyBorder="1" applyAlignment="1">
      <alignment horizontal="center"/>
    </xf>
    <xf numFmtId="0" fontId="0" fillId="4" borderId="0" xfId="0" applyFill="1"/>
    <xf numFmtId="9" fontId="0" fillId="4" borderId="0" xfId="0" applyNumberFormat="1" applyFill="1" applyAlignment="1">
      <alignment horizontal="center"/>
    </xf>
    <xf numFmtId="0" fontId="2" fillId="9" borderId="0" xfId="0" applyFont="1" applyFill="1"/>
    <xf numFmtId="0" fontId="2" fillId="9" borderId="0" xfId="0" applyFont="1" applyFill="1" applyAlignment="1">
      <alignment horizontal="center"/>
    </xf>
    <xf numFmtId="164" fontId="11" fillId="8" borderId="0" xfId="0" applyNumberFormat="1" applyFont="1" applyFill="1" applyAlignment="1">
      <alignment horizontal="center"/>
    </xf>
    <xf numFmtId="10" fontId="8" fillId="0" borderId="9" xfId="0" applyNumberFormat="1" applyFont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29" xfId="0" applyFill="1" applyBorder="1"/>
    <xf numFmtId="0" fontId="0" fillId="10" borderId="29" xfId="0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indent="3"/>
    </xf>
    <xf numFmtId="0" fontId="4" fillId="2" borderId="5" xfId="0" applyFont="1" applyFill="1" applyBorder="1" applyAlignment="1">
      <alignment horizontal="left" indent="3"/>
    </xf>
    <xf numFmtId="0" fontId="4" fillId="2" borderId="7" xfId="0" applyFont="1" applyFill="1" applyBorder="1" applyAlignment="1">
      <alignment horizontal="left" indent="3"/>
    </xf>
    <xf numFmtId="0" fontId="4" fillId="2" borderId="8" xfId="0" applyFont="1" applyFill="1" applyBorder="1" applyAlignment="1">
      <alignment horizontal="left" indent="3"/>
    </xf>
    <xf numFmtId="0" fontId="4" fillId="2" borderId="10" xfId="0" applyFont="1" applyFill="1" applyBorder="1" applyAlignment="1">
      <alignment horizontal="left" indent="3"/>
    </xf>
    <xf numFmtId="0" fontId="4" fillId="2" borderId="11" xfId="0" applyFont="1" applyFill="1" applyBorder="1" applyAlignment="1">
      <alignment horizontal="left" indent="3"/>
    </xf>
    <xf numFmtId="0" fontId="3" fillId="5" borderId="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left" indent="3"/>
    </xf>
    <xf numFmtId="0" fontId="4" fillId="4" borderId="15" xfId="0" applyFont="1" applyFill="1" applyBorder="1" applyAlignment="1">
      <alignment horizontal="left" indent="3"/>
    </xf>
    <xf numFmtId="0" fontId="4" fillId="4" borderId="17" xfId="0" applyFont="1" applyFill="1" applyBorder="1" applyAlignment="1">
      <alignment horizontal="left" indent="3"/>
    </xf>
    <xf numFmtId="0" fontId="4" fillId="4" borderId="13" xfId="0" applyFont="1" applyFill="1" applyBorder="1" applyAlignment="1">
      <alignment horizontal="left" indent="3"/>
    </xf>
    <xf numFmtId="0" fontId="6" fillId="3" borderId="17" xfId="0" applyFont="1" applyFill="1" applyBorder="1" applyAlignment="1">
      <alignment horizontal="left" indent="3"/>
    </xf>
    <xf numFmtId="0" fontId="6" fillId="3" borderId="13" xfId="0" applyFont="1" applyFill="1" applyBorder="1" applyAlignment="1">
      <alignment horizontal="left" indent="3"/>
    </xf>
    <xf numFmtId="0" fontId="6" fillId="3" borderId="19" xfId="0" applyFont="1" applyFill="1" applyBorder="1" applyAlignment="1">
      <alignment horizontal="left" indent="3"/>
    </xf>
    <xf numFmtId="0" fontId="6" fillId="3" borderId="20" xfId="0" applyFont="1" applyFill="1" applyBorder="1" applyAlignment="1">
      <alignment horizontal="left" indent="3"/>
    </xf>
    <xf numFmtId="0" fontId="4" fillId="2" borderId="4" xfId="0" applyFont="1" applyFill="1" applyBorder="1" applyAlignment="1">
      <alignment horizontal="left" vertical="top" indent="3"/>
    </xf>
    <xf numFmtId="0" fontId="4" fillId="2" borderId="5" xfId="0" applyFont="1" applyFill="1" applyBorder="1" applyAlignment="1">
      <alignment horizontal="left" vertical="top" indent="3"/>
    </xf>
    <xf numFmtId="0" fontId="4" fillId="2" borderId="7" xfId="0" applyFont="1" applyFill="1" applyBorder="1" applyAlignment="1">
      <alignment horizontal="left" vertical="top" indent="3"/>
    </xf>
    <xf numFmtId="0" fontId="4" fillId="2" borderId="8" xfId="0" applyFont="1" applyFill="1" applyBorder="1" applyAlignment="1">
      <alignment horizontal="left" vertical="top" indent="3"/>
    </xf>
    <xf numFmtId="0" fontId="4" fillId="2" borderId="10" xfId="0" applyFont="1" applyFill="1" applyBorder="1" applyAlignment="1">
      <alignment horizontal="left" vertical="top" indent="3"/>
    </xf>
    <xf numFmtId="0" fontId="4" fillId="2" borderId="11" xfId="0" applyFont="1" applyFill="1" applyBorder="1" applyAlignment="1">
      <alignment horizontal="left" vertical="top" indent="3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E04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6-44C7-8B3F-A5A8BA92FBF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6-44C7-8B3F-A5A8BA92FBF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6-44C7-8B3F-A5A8BA92FBF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6-44C7-8B3F-A5A8BA92FBF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D6-44C7-8B3F-A5A8BA92FBF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D6-44C7-8B3F-A5A8BA92FB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SIMULADOR!$C$30:$C$35</c:f>
              <c:numCache>
                <c:formatCode>0%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0.2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7-4A1B-A163-D663E834C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99-4968-BBEC-7D8ADD9012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99-4968-BBEC-7D8ADD9012C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99-4968-BBEC-7D8ADD9012C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99-4968-BBEC-7D8ADD9012C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099-4968-BBEC-7D8ADD9012C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099-4968-BBEC-7D8ADD9012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APORTE'!$B$35:$B$40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'SIMULADOR APORTE'!$C$35:$C$40</c:f>
              <c:numCache>
                <c:formatCode>0%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0.2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099-4968-BBEC-7D8ADD901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</xdr:colOff>
      <xdr:row>36</xdr:row>
      <xdr:rowOff>138112</xdr:rowOff>
    </xdr:from>
    <xdr:to>
      <xdr:col>4</xdr:col>
      <xdr:colOff>33337</xdr:colOff>
      <xdr:row>51</xdr:row>
      <xdr:rowOff>23812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07E9A2-46E1-3802-8793-D896FB2C9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357187</xdr:colOff>
      <xdr:row>1</xdr:row>
      <xdr:rowOff>119062</xdr:rowOff>
    </xdr:from>
    <xdr:to>
      <xdr:col>4</xdr:col>
      <xdr:colOff>595313</xdr:colOff>
      <xdr:row>8</xdr:row>
      <xdr:rowOff>59531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1FC3BCF8-860C-34F9-BFE6-E273D22E62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1" t="7918" r="5134" b="7361"/>
        <a:stretch>
          <a:fillRect/>
        </a:stretch>
      </xdr:blipFill>
      <xdr:spPr>
        <a:xfrm>
          <a:off x="357187" y="309562"/>
          <a:ext cx="5774532" cy="12739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</xdr:colOff>
      <xdr:row>41</xdr:row>
      <xdr:rowOff>138112</xdr:rowOff>
    </xdr:from>
    <xdr:to>
      <xdr:col>4</xdr:col>
      <xdr:colOff>176212</xdr:colOff>
      <xdr:row>56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98138A-C61A-4322-B776-FFDEF1E29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357187</xdr:colOff>
      <xdr:row>1</xdr:row>
      <xdr:rowOff>119062</xdr:rowOff>
    </xdr:from>
    <xdr:to>
      <xdr:col>5</xdr:col>
      <xdr:colOff>595313</xdr:colOff>
      <xdr:row>8</xdr:row>
      <xdr:rowOff>59531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66823E8-9C19-4DAD-A12D-9C8C57B9DF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1" t="7918" r="5134" b="7361"/>
        <a:stretch>
          <a:fillRect/>
        </a:stretch>
      </xdr:blipFill>
      <xdr:spPr>
        <a:xfrm>
          <a:off x="357187" y="309562"/>
          <a:ext cx="5781676" cy="1273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C10C-FD85-4610-AAAD-413D0D445EDC}">
  <dimension ref="A10:H36"/>
  <sheetViews>
    <sheetView showGridLines="0" showRowColHeaders="0" tabSelected="1" zoomScale="80" zoomScaleNormal="80" workbookViewId="0">
      <selection activeCell="G24" sqref="G24"/>
    </sheetView>
  </sheetViews>
  <sheetFormatPr defaultColWidth="0" defaultRowHeight="15" x14ac:dyDescent="0.25"/>
  <cols>
    <col min="1" max="1" width="5.5703125" customWidth="1"/>
    <col min="2" max="2" width="41.28515625" customWidth="1"/>
    <col min="3" max="3" width="19.42578125" bestFit="1" customWidth="1"/>
    <col min="4" max="4" width="16.85546875" bestFit="1" customWidth="1"/>
    <col min="5" max="5" width="9.140625" customWidth="1"/>
    <col min="6" max="6" width="15.42578125" customWidth="1"/>
    <col min="7" max="7" width="24" customWidth="1"/>
    <col min="8" max="8" width="18" customWidth="1"/>
    <col min="9" max="9" width="9.140625" customWidth="1"/>
    <col min="10" max="16384" width="9.140625" hidden="1"/>
  </cols>
  <sheetData>
    <row r="10" spans="2:8" ht="15.75" thickBot="1" x14ac:dyDescent="0.3"/>
    <row r="11" spans="2:8" ht="31.5" thickBot="1" x14ac:dyDescent="0.3">
      <c r="B11" s="41" t="s">
        <v>0</v>
      </c>
      <c r="C11" s="42"/>
      <c r="D11" s="49"/>
      <c r="F11" s="38" t="s">
        <v>13</v>
      </c>
      <c r="G11" s="39"/>
      <c r="H11" s="40"/>
    </row>
    <row r="12" spans="2:8" ht="18" thickBot="1" x14ac:dyDescent="0.35">
      <c r="B12" s="50" t="s">
        <v>1</v>
      </c>
      <c r="C12" s="51"/>
      <c r="D12" s="1">
        <v>250</v>
      </c>
      <c r="F12" s="58" t="s">
        <v>14</v>
      </c>
      <c r="G12" s="59"/>
      <c r="H12" s="16">
        <v>2000</v>
      </c>
    </row>
    <row r="13" spans="2:8" ht="18" thickBot="1" x14ac:dyDescent="0.35">
      <c r="B13" s="52" t="s">
        <v>2</v>
      </c>
      <c r="C13" s="53"/>
      <c r="D13" s="2">
        <v>5</v>
      </c>
      <c r="F13" s="60" t="s">
        <v>15</v>
      </c>
      <c r="G13" s="61"/>
      <c r="H13" s="33">
        <v>6.0000000000000001E-3</v>
      </c>
    </row>
    <row r="14" spans="2:8" ht="18" thickBot="1" x14ac:dyDescent="0.35">
      <c r="B14" s="52" t="s">
        <v>3</v>
      </c>
      <c r="C14" s="53"/>
      <c r="D14" s="3">
        <v>1.0789999999999999E-2</v>
      </c>
      <c r="F14" s="62" t="s">
        <v>16</v>
      </c>
      <c r="G14" s="63"/>
      <c r="H14" s="17">
        <f>H12*30%</f>
        <v>600</v>
      </c>
    </row>
    <row r="15" spans="2:8" ht="18" thickBot="1" x14ac:dyDescent="0.35">
      <c r="B15" s="54" t="s">
        <v>4</v>
      </c>
      <c r="C15" s="55"/>
      <c r="D15" s="4">
        <f>FV(Taxa_mensal,Qtd_anos*12,Aporte*-1)</f>
        <v>20944.22849962191</v>
      </c>
      <c r="F15" s="6"/>
    </row>
    <row r="16" spans="2:8" ht="18" thickBot="1" x14ac:dyDescent="0.35">
      <c r="B16" s="56" t="s">
        <v>5</v>
      </c>
      <c r="C16" s="57"/>
      <c r="D16" s="5">
        <f>$D$15*$H$13</f>
        <v>125.66537099773146</v>
      </c>
    </row>
    <row r="17" spans="1:6" ht="15.75" thickBot="1" x14ac:dyDescent="0.3"/>
    <row r="18" spans="1:6" ht="30.75" x14ac:dyDescent="0.25">
      <c r="B18" s="41" t="s">
        <v>6</v>
      </c>
      <c r="C18" s="42"/>
      <c r="D18" s="12" t="s">
        <v>7</v>
      </c>
      <c r="F18" s="18"/>
    </row>
    <row r="19" spans="1:6" ht="17.25" x14ac:dyDescent="0.3">
      <c r="A19" s="13">
        <v>2</v>
      </c>
      <c r="B19" s="7" t="s">
        <v>8</v>
      </c>
      <c r="C19" s="8">
        <f>FV($D$14,$A19*12,rendimento_carteira*-1)</f>
        <v>6806.9068244113041</v>
      </c>
      <c r="D19" s="9">
        <f>C19*Rendimento</f>
        <v>40.841440946467827</v>
      </c>
    </row>
    <row r="20" spans="1:6" ht="17.25" x14ac:dyDescent="0.3">
      <c r="A20" s="13">
        <v>5</v>
      </c>
      <c r="B20" s="10" t="s">
        <v>9</v>
      </c>
      <c r="C20" s="8">
        <f>FV($D$14,$A20*12,rendimento_carteira*-1)</f>
        <v>20944.22849962191</v>
      </c>
      <c r="D20" s="9">
        <f>C20*Rendimento</f>
        <v>125.66537099773146</v>
      </c>
    </row>
    <row r="21" spans="1:6" ht="17.25" x14ac:dyDescent="0.3">
      <c r="A21" s="13">
        <v>10</v>
      </c>
      <c r="B21" s="10" t="s">
        <v>10</v>
      </c>
      <c r="C21" s="8">
        <f>FV($D$14,$A21*12,rendimento_carteira*-1)</f>
        <v>60821.053132543049</v>
      </c>
      <c r="D21" s="9">
        <f>C21*Rendimento</f>
        <v>364.92631879525828</v>
      </c>
    </row>
    <row r="22" spans="1:6" ht="17.25" x14ac:dyDescent="0.3">
      <c r="A22" s="13">
        <v>20</v>
      </c>
      <c r="B22" s="10" t="s">
        <v>11</v>
      </c>
      <c r="C22" s="8">
        <f>FV($D$14,$A22*12,rendimento_carteira*-1)</f>
        <v>281299.60002427013</v>
      </c>
      <c r="D22" s="9">
        <f>C22*Rendimento</f>
        <v>1687.7976001456209</v>
      </c>
    </row>
    <row r="23" spans="1:6" ht="18" thickBot="1" x14ac:dyDescent="0.35">
      <c r="A23" s="13">
        <v>30</v>
      </c>
      <c r="B23" s="11" t="s">
        <v>12</v>
      </c>
      <c r="C23" s="14">
        <f>FV($D$14,$A23*12,rendimento_carteira*-1)</f>
        <v>1080542.4137511787</v>
      </c>
      <c r="D23" s="15">
        <f>C23*Rendimento</f>
        <v>6483.2544825070718</v>
      </c>
    </row>
    <row r="26" spans="1:6" x14ac:dyDescent="0.25">
      <c r="B26" s="19" t="s">
        <v>17</v>
      </c>
      <c r="C26" s="20" t="s">
        <v>18</v>
      </c>
      <c r="D26" s="19"/>
    </row>
    <row r="27" spans="1:6" x14ac:dyDescent="0.25">
      <c r="B27" s="21" t="s">
        <v>33</v>
      </c>
      <c r="C27" s="22">
        <f>Aporte</f>
        <v>250</v>
      </c>
      <c r="D27" s="21"/>
    </row>
    <row r="29" spans="1:6" x14ac:dyDescent="0.25">
      <c r="B29" s="23" t="s">
        <v>20</v>
      </c>
      <c r="C29" s="23" t="s">
        <v>21</v>
      </c>
      <c r="D29" s="23" t="s">
        <v>22</v>
      </c>
    </row>
    <row r="30" spans="1:6" x14ac:dyDescent="0.25">
      <c r="B30" s="24" t="s">
        <v>23</v>
      </c>
      <c r="C30" s="25">
        <f>VLOOKUP($C$26&amp;"-"&amp;B30,Planilha2!$A:$D,4,0)</f>
        <v>0.3</v>
      </c>
      <c r="D30" s="26">
        <f>C30*$C$27</f>
        <v>75</v>
      </c>
    </row>
    <row r="31" spans="1:6" x14ac:dyDescent="0.25">
      <c r="B31" s="24" t="s">
        <v>24</v>
      </c>
      <c r="C31" s="25">
        <f>VLOOKUP($C$26&amp;"-"&amp;B31,Planilha2!$A:$D,4,0)</f>
        <v>0.3</v>
      </c>
      <c r="D31" s="26">
        <f t="shared" ref="D31:D35" si="0">C31*$C$27</f>
        <v>75</v>
      </c>
    </row>
    <row r="32" spans="1:6" x14ac:dyDescent="0.25">
      <c r="B32" s="24" t="s">
        <v>25</v>
      </c>
      <c r="C32" s="25">
        <f>VLOOKUP($C$26&amp;"-"&amp;B32,Planilha2!$A:$D,4,0)</f>
        <v>0.2</v>
      </c>
      <c r="D32" s="26">
        <f t="shared" si="0"/>
        <v>50</v>
      </c>
    </row>
    <row r="33" spans="2:4" x14ac:dyDescent="0.25">
      <c r="B33" s="24" t="s">
        <v>26</v>
      </c>
      <c r="C33" s="25">
        <f>VLOOKUP($C$26&amp;"-"&amp;B33,Planilha2!$A:$D,4,0)</f>
        <v>0.2</v>
      </c>
      <c r="D33" s="26">
        <f t="shared" si="0"/>
        <v>50</v>
      </c>
    </row>
    <row r="34" spans="2:4" x14ac:dyDescent="0.25">
      <c r="B34" s="24" t="s">
        <v>27</v>
      </c>
      <c r="C34" s="25">
        <f>VLOOKUP($C$26&amp;"-"&amp;B34,Planilha2!$A:$D,4,0)</f>
        <v>0</v>
      </c>
      <c r="D34" s="26">
        <f t="shared" si="0"/>
        <v>0</v>
      </c>
    </row>
    <row r="35" spans="2:4" x14ac:dyDescent="0.25">
      <c r="B35" s="24" t="s">
        <v>28</v>
      </c>
      <c r="C35" s="25">
        <f>VLOOKUP($C$26&amp;"-"&amp;B35,Planilha2!$A:$D,4,0)</f>
        <v>0</v>
      </c>
      <c r="D35" s="26">
        <f t="shared" si="0"/>
        <v>0</v>
      </c>
    </row>
    <row r="36" spans="2:4" x14ac:dyDescent="0.25">
      <c r="D36" s="32">
        <f>SUM(D30:D35)</f>
        <v>250</v>
      </c>
    </row>
  </sheetData>
  <mergeCells count="11">
    <mergeCell ref="F11:H11"/>
    <mergeCell ref="B18:C18"/>
    <mergeCell ref="F12:G12"/>
    <mergeCell ref="F13:G13"/>
    <mergeCell ref="F14:G14"/>
    <mergeCell ref="B11:D11"/>
    <mergeCell ref="B12:C12"/>
    <mergeCell ref="B13:C13"/>
    <mergeCell ref="B14:C14"/>
    <mergeCell ref="B15:C15"/>
    <mergeCell ref="B16:C16"/>
  </mergeCells>
  <dataValidations count="1">
    <dataValidation type="list" allowBlank="1" showInputMessage="1" showErrorMessage="1" sqref="C26" xr:uid="{4EBFC53C-D460-46E4-A5DA-7229492F16FE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8A31-6F18-4FAC-8683-C3312B87EA83}">
  <dimension ref="A10:H41"/>
  <sheetViews>
    <sheetView showGridLines="0" topLeftCell="A45" zoomScale="80" zoomScaleNormal="80" workbookViewId="0">
      <selection activeCell="B10" sqref="B10:D57"/>
    </sheetView>
  </sheetViews>
  <sheetFormatPr defaultColWidth="0" defaultRowHeight="15" x14ac:dyDescent="0.25"/>
  <cols>
    <col min="1" max="1" width="5.5703125" customWidth="1"/>
    <col min="2" max="2" width="32.140625" bestFit="1" customWidth="1"/>
    <col min="3" max="3" width="19.42578125" bestFit="1" customWidth="1"/>
    <col min="4" max="4" width="16.85546875" bestFit="1" customWidth="1"/>
    <col min="5" max="5" width="9.140625" customWidth="1"/>
    <col min="6" max="6" width="15.42578125" customWidth="1"/>
    <col min="7" max="7" width="12.7109375" hidden="1" customWidth="1"/>
    <col min="8" max="8" width="11.7109375" hidden="1" customWidth="1"/>
    <col min="9" max="10" width="9.140625" hidden="1" customWidth="1"/>
    <col min="11" max="16384" width="9.140625" hidden="1"/>
  </cols>
  <sheetData>
    <row r="10" spans="2:4" ht="15.75" thickBot="1" x14ac:dyDescent="0.3"/>
    <row r="11" spans="2:4" ht="26.25" x14ac:dyDescent="0.25">
      <c r="B11" s="38" t="s">
        <v>13</v>
      </c>
      <c r="C11" s="39"/>
      <c r="D11" s="40"/>
    </row>
    <row r="12" spans="2:4" ht="17.25" x14ac:dyDescent="0.3">
      <c r="B12" s="43" t="s">
        <v>14</v>
      </c>
      <c r="C12" s="44"/>
      <c r="D12" s="16">
        <v>2000</v>
      </c>
    </row>
    <row r="13" spans="2:4" ht="17.25" x14ac:dyDescent="0.3">
      <c r="B13" s="45" t="s">
        <v>15</v>
      </c>
      <c r="C13" s="46"/>
      <c r="D13" s="33">
        <v>6.0000000000000001E-3</v>
      </c>
    </row>
    <row r="14" spans="2:4" ht="18" thickBot="1" x14ac:dyDescent="0.35">
      <c r="B14" s="47" t="s">
        <v>16</v>
      </c>
      <c r="C14" s="48"/>
      <c r="D14" s="17">
        <f>D12*30%</f>
        <v>600</v>
      </c>
    </row>
    <row r="15" spans="2:4" ht="15.75" thickBot="1" x14ac:dyDescent="0.3"/>
    <row r="16" spans="2:4" ht="31.5" thickBot="1" x14ac:dyDescent="0.3">
      <c r="B16" s="41" t="s">
        <v>0</v>
      </c>
      <c r="C16" s="42"/>
      <c r="D16" s="49"/>
    </row>
    <row r="17" spans="1:6" ht="18" thickBot="1" x14ac:dyDescent="0.35">
      <c r="B17" s="50" t="s">
        <v>1</v>
      </c>
      <c r="C17" s="51"/>
      <c r="D17" s="1">
        <v>600</v>
      </c>
    </row>
    <row r="18" spans="1:6" ht="18" thickBot="1" x14ac:dyDescent="0.35">
      <c r="B18" s="52" t="s">
        <v>2</v>
      </c>
      <c r="C18" s="53"/>
      <c r="D18" s="2">
        <v>5</v>
      </c>
    </row>
    <row r="19" spans="1:6" ht="18" thickBot="1" x14ac:dyDescent="0.35">
      <c r="B19" s="52" t="s">
        <v>3</v>
      </c>
      <c r="C19" s="53"/>
      <c r="D19" s="3">
        <v>1.0789999999999999E-2</v>
      </c>
    </row>
    <row r="20" spans="1:6" ht="18" thickBot="1" x14ac:dyDescent="0.35">
      <c r="B20" s="54" t="s">
        <v>4</v>
      </c>
      <c r="C20" s="55"/>
      <c r="D20" s="4">
        <f>FV(Taxa_mensal,Qtd_anos*12,Aporte*-1)</f>
        <v>50266.148399092584</v>
      </c>
      <c r="F20" s="6"/>
    </row>
    <row r="21" spans="1:6" ht="18" thickBot="1" x14ac:dyDescent="0.35">
      <c r="B21" s="56" t="s">
        <v>5</v>
      </c>
      <c r="C21" s="57"/>
      <c r="D21" s="5">
        <f>$D$20*$D$13</f>
        <v>301.59689039455549</v>
      </c>
    </row>
    <row r="22" spans="1:6" ht="15.75" thickBot="1" x14ac:dyDescent="0.3"/>
    <row r="23" spans="1:6" ht="30.75" x14ac:dyDescent="0.25">
      <c r="B23" s="41" t="s">
        <v>6</v>
      </c>
      <c r="C23" s="42"/>
      <c r="D23" s="12" t="s">
        <v>7</v>
      </c>
      <c r="F23" s="18"/>
    </row>
    <row r="24" spans="1:6" ht="17.25" x14ac:dyDescent="0.3">
      <c r="A24" s="13">
        <v>2</v>
      </c>
      <c r="B24" s="7" t="s">
        <v>8</v>
      </c>
      <c r="C24" s="8">
        <f>FV($D$19,$A24*12,rendimento_carteira*-1)</f>
        <v>16336.57637858713</v>
      </c>
      <c r="D24" s="9">
        <f>C24*Rendimento</f>
        <v>98.01945827152278</v>
      </c>
    </row>
    <row r="25" spans="1:6" ht="17.25" x14ac:dyDescent="0.3">
      <c r="A25" s="13">
        <v>5</v>
      </c>
      <c r="B25" s="10" t="s">
        <v>9</v>
      </c>
      <c r="C25" s="8">
        <f>FV($D$19,$A25*12,rendimento_carteira*-1)</f>
        <v>50266.148399092584</v>
      </c>
      <c r="D25" s="9">
        <f>C25*Rendimento</f>
        <v>301.59689039455549</v>
      </c>
    </row>
    <row r="26" spans="1:6" ht="17.25" x14ac:dyDescent="0.3">
      <c r="A26" s="13">
        <v>10</v>
      </c>
      <c r="B26" s="10" t="s">
        <v>10</v>
      </c>
      <c r="C26" s="8">
        <f>FV($D$19,$A26*12,rendimento_carteira*-1)</f>
        <v>145970.52751810331</v>
      </c>
      <c r="D26" s="9">
        <f>C26*Rendimento</f>
        <v>875.82316510861983</v>
      </c>
    </row>
    <row r="27" spans="1:6" ht="17.25" x14ac:dyDescent="0.3">
      <c r="A27" s="13">
        <v>20</v>
      </c>
      <c r="B27" s="10" t="s">
        <v>11</v>
      </c>
      <c r="C27" s="8">
        <f>FV($D$19,$A27*12,rendimento_carteira*-1)</f>
        <v>675119.04005824833</v>
      </c>
      <c r="D27" s="9">
        <f>C27*Rendimento</f>
        <v>4050.71424034949</v>
      </c>
    </row>
    <row r="28" spans="1:6" ht="18" thickBot="1" x14ac:dyDescent="0.35">
      <c r="A28" s="13">
        <v>30</v>
      </c>
      <c r="B28" s="11" t="s">
        <v>12</v>
      </c>
      <c r="C28" s="14">
        <f>FV($D$19,$A28*12,rendimento_carteira*-1)</f>
        <v>2593301.7930028285</v>
      </c>
      <c r="D28" s="15">
        <f>C28*Rendimento</f>
        <v>15559.810758016971</v>
      </c>
    </row>
    <row r="31" spans="1:6" x14ac:dyDescent="0.25">
      <c r="B31" s="19" t="s">
        <v>17</v>
      </c>
      <c r="C31" s="20" t="s">
        <v>18</v>
      </c>
      <c r="D31" s="19"/>
    </row>
    <row r="32" spans="1:6" x14ac:dyDescent="0.25">
      <c r="B32" s="21" t="s">
        <v>19</v>
      </c>
      <c r="C32" s="22">
        <f>Aporte</f>
        <v>600</v>
      </c>
      <c r="D32" s="21"/>
    </row>
    <row r="34" spans="2:4" x14ac:dyDescent="0.25">
      <c r="B34" s="23" t="s">
        <v>20</v>
      </c>
      <c r="C34" s="23" t="s">
        <v>21</v>
      </c>
      <c r="D34" s="23" t="s">
        <v>22</v>
      </c>
    </row>
    <row r="35" spans="2:4" x14ac:dyDescent="0.25">
      <c r="B35" s="24" t="s">
        <v>23</v>
      </c>
      <c r="C35" s="25">
        <f>VLOOKUP($C$31&amp;"-"&amp;B35,Planilha2!$A:$D,4,0)</f>
        <v>0.3</v>
      </c>
      <c r="D35" s="26">
        <f>C35*$C$32</f>
        <v>180</v>
      </c>
    </row>
    <row r="36" spans="2:4" x14ac:dyDescent="0.25">
      <c r="B36" s="24" t="s">
        <v>24</v>
      </c>
      <c r="C36" s="25">
        <f>VLOOKUP($C$31&amp;"-"&amp;B36,Planilha2!$A:$D,4,0)</f>
        <v>0.3</v>
      </c>
      <c r="D36" s="26">
        <f t="shared" ref="D36:D40" si="0">C36*$C$32</f>
        <v>180</v>
      </c>
    </row>
    <row r="37" spans="2:4" x14ac:dyDescent="0.25">
      <c r="B37" s="24" t="s">
        <v>25</v>
      </c>
      <c r="C37" s="25">
        <f>VLOOKUP($C$31&amp;"-"&amp;B37,Planilha2!$A:$D,4,0)</f>
        <v>0.2</v>
      </c>
      <c r="D37" s="26">
        <f t="shared" si="0"/>
        <v>120</v>
      </c>
    </row>
    <row r="38" spans="2:4" x14ac:dyDescent="0.25">
      <c r="B38" s="24" t="s">
        <v>26</v>
      </c>
      <c r="C38" s="25">
        <f>VLOOKUP($C$31&amp;"-"&amp;B38,Planilha2!$A:$D,4,0)</f>
        <v>0.2</v>
      </c>
      <c r="D38" s="26">
        <f t="shared" si="0"/>
        <v>120</v>
      </c>
    </row>
    <row r="39" spans="2:4" x14ac:dyDescent="0.25">
      <c r="B39" s="24" t="s">
        <v>27</v>
      </c>
      <c r="C39" s="25">
        <f>VLOOKUP($C$31&amp;"-"&amp;B39,Planilha2!$A:$D,4,0)</f>
        <v>0</v>
      </c>
      <c r="D39" s="26">
        <f t="shared" si="0"/>
        <v>0</v>
      </c>
    </row>
    <row r="40" spans="2:4" x14ac:dyDescent="0.25">
      <c r="B40" s="24" t="s">
        <v>28</v>
      </c>
      <c r="C40" s="25">
        <f>VLOOKUP($C$31&amp;"-"&amp;B40,Planilha2!$A:$D,4,0)</f>
        <v>0</v>
      </c>
      <c r="D40" s="26">
        <f t="shared" si="0"/>
        <v>0</v>
      </c>
    </row>
    <row r="41" spans="2:4" x14ac:dyDescent="0.25">
      <c r="D41" s="32">
        <f>SUM(D35:D40)</f>
        <v>600</v>
      </c>
    </row>
  </sheetData>
  <mergeCells count="11">
    <mergeCell ref="B17:C17"/>
    <mergeCell ref="B11:D11"/>
    <mergeCell ref="B12:C12"/>
    <mergeCell ref="B13:C13"/>
    <mergeCell ref="B14:C14"/>
    <mergeCell ref="B16:D16"/>
    <mergeCell ref="B18:C18"/>
    <mergeCell ref="B19:C19"/>
    <mergeCell ref="B20:C20"/>
    <mergeCell ref="B21:C21"/>
    <mergeCell ref="B23:C23"/>
  </mergeCells>
  <dataValidations count="1">
    <dataValidation type="list" allowBlank="1" showInputMessage="1" showErrorMessage="1" sqref="C31" xr:uid="{6CAA7324-7891-4297-97E8-49E45BDE50B2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0C00-48F4-4FD5-B33C-E105AE36407C}">
  <dimension ref="A1:D19"/>
  <sheetViews>
    <sheetView workbookViewId="0">
      <selection activeCell="D2" sqref="D2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4.5703125" bestFit="1" customWidth="1"/>
  </cols>
  <sheetData>
    <row r="1" spans="1:4" x14ac:dyDescent="0.25">
      <c r="A1" s="30" t="s">
        <v>29</v>
      </c>
      <c r="B1" s="30" t="s">
        <v>17</v>
      </c>
      <c r="C1" s="31" t="s">
        <v>20</v>
      </c>
      <c r="D1" s="31" t="s">
        <v>30</v>
      </c>
    </row>
    <row r="2" spans="1:4" x14ac:dyDescent="0.25">
      <c r="A2" s="34" t="str">
        <f>B2&amp;"-"&amp;C2</f>
        <v>Conservador-PAPEL</v>
      </c>
      <c r="B2" s="34" t="s">
        <v>18</v>
      </c>
      <c r="C2" s="35" t="s">
        <v>23</v>
      </c>
      <c r="D2" s="25">
        <v>0.3</v>
      </c>
    </row>
    <row r="3" spans="1:4" x14ac:dyDescent="0.25">
      <c r="A3" s="34" t="str">
        <f t="shared" ref="A3:A19" si="0">B3&amp;"-"&amp;C3</f>
        <v>Conservador-TIJOLO</v>
      </c>
      <c r="B3" s="34" t="s">
        <v>18</v>
      </c>
      <c r="C3" s="35" t="s">
        <v>24</v>
      </c>
      <c r="D3" s="25">
        <v>0.3</v>
      </c>
    </row>
    <row r="4" spans="1:4" x14ac:dyDescent="0.25">
      <c r="A4" s="34" t="str">
        <f t="shared" si="0"/>
        <v>Conservador-HÍBRIDOS</v>
      </c>
      <c r="B4" s="34" t="s">
        <v>18</v>
      </c>
      <c r="C4" s="35" t="s">
        <v>25</v>
      </c>
      <c r="D4" s="25">
        <v>0.2</v>
      </c>
    </row>
    <row r="5" spans="1:4" x14ac:dyDescent="0.25">
      <c r="A5" s="34" t="str">
        <f t="shared" si="0"/>
        <v>Conservador-FOFs</v>
      </c>
      <c r="B5" s="34" t="s">
        <v>18</v>
      </c>
      <c r="C5" s="35" t="s">
        <v>26</v>
      </c>
      <c r="D5" s="25">
        <v>0.2</v>
      </c>
    </row>
    <row r="6" spans="1:4" x14ac:dyDescent="0.25">
      <c r="A6" s="34" t="str">
        <f t="shared" si="0"/>
        <v>Conservador-DESENVOLVIMENTO</v>
      </c>
      <c r="B6" s="34" t="s">
        <v>18</v>
      </c>
      <c r="C6" s="35" t="s">
        <v>27</v>
      </c>
      <c r="D6" s="25">
        <v>0</v>
      </c>
    </row>
    <row r="7" spans="1:4" ht="15.75" thickBot="1" x14ac:dyDescent="0.3">
      <c r="A7" s="36" t="str">
        <f t="shared" si="0"/>
        <v>Conservador-HOTELARIAS</v>
      </c>
      <c r="B7" s="36" t="s">
        <v>18</v>
      </c>
      <c r="C7" s="37" t="s">
        <v>28</v>
      </c>
      <c r="D7" s="27">
        <v>0</v>
      </c>
    </row>
    <row r="8" spans="1:4" x14ac:dyDescent="0.25">
      <c r="A8" s="34" t="str">
        <f t="shared" si="0"/>
        <v>Moderado-PAPEL</v>
      </c>
      <c r="B8" s="34" t="s">
        <v>31</v>
      </c>
      <c r="C8" s="35" t="s">
        <v>23</v>
      </c>
      <c r="D8" s="25">
        <v>0.3</v>
      </c>
    </row>
    <row r="9" spans="1:4" s="28" customFormat="1" x14ac:dyDescent="0.25">
      <c r="A9" s="34" t="str">
        <f t="shared" si="0"/>
        <v>Moderado-TIJOLO</v>
      </c>
      <c r="B9" s="34" t="s">
        <v>31</v>
      </c>
      <c r="C9" s="35" t="s">
        <v>24</v>
      </c>
      <c r="D9" s="29">
        <v>0.3</v>
      </c>
    </row>
    <row r="10" spans="1:4" x14ac:dyDescent="0.25">
      <c r="A10" s="34" t="str">
        <f t="shared" si="0"/>
        <v>Moderado-HÍBRIDOS</v>
      </c>
      <c r="B10" s="34" t="s">
        <v>31</v>
      </c>
      <c r="C10" s="35" t="s">
        <v>25</v>
      </c>
      <c r="D10" s="25">
        <v>0.1</v>
      </c>
    </row>
    <row r="11" spans="1:4" x14ac:dyDescent="0.25">
      <c r="A11" s="34" t="str">
        <f t="shared" si="0"/>
        <v>Moderado-FOFs</v>
      </c>
      <c r="B11" s="34" t="s">
        <v>31</v>
      </c>
      <c r="C11" s="35" t="s">
        <v>26</v>
      </c>
      <c r="D11" s="25">
        <v>0.1</v>
      </c>
    </row>
    <row r="12" spans="1:4" x14ac:dyDescent="0.25">
      <c r="A12" s="34" t="str">
        <f t="shared" si="0"/>
        <v>Moderado-DESENVOLVIMENTO</v>
      </c>
      <c r="B12" s="34" t="s">
        <v>31</v>
      </c>
      <c r="C12" s="35" t="s">
        <v>27</v>
      </c>
      <c r="D12" s="25">
        <v>0.1</v>
      </c>
    </row>
    <row r="13" spans="1:4" ht="15.75" thickBot="1" x14ac:dyDescent="0.3">
      <c r="A13" s="36" t="str">
        <f t="shared" si="0"/>
        <v>Moderado-HOTELARIAS</v>
      </c>
      <c r="B13" s="36" t="s">
        <v>31</v>
      </c>
      <c r="C13" s="37" t="s">
        <v>28</v>
      </c>
      <c r="D13" s="27">
        <v>0.1</v>
      </c>
    </row>
    <row r="14" spans="1:4" x14ac:dyDescent="0.25">
      <c r="A14" s="34" t="str">
        <f t="shared" si="0"/>
        <v>Agressivo-PAPEL</v>
      </c>
      <c r="B14" s="34" t="s">
        <v>32</v>
      </c>
      <c r="C14" s="35" t="s">
        <v>23</v>
      </c>
      <c r="D14" s="25">
        <v>0.4</v>
      </c>
    </row>
    <row r="15" spans="1:4" x14ac:dyDescent="0.25">
      <c r="A15" s="34" t="str">
        <f t="shared" si="0"/>
        <v>Agressivo-TIJOLO</v>
      </c>
      <c r="B15" s="34" t="s">
        <v>32</v>
      </c>
      <c r="C15" s="35" t="s">
        <v>24</v>
      </c>
      <c r="D15" s="25">
        <v>0.1</v>
      </c>
    </row>
    <row r="16" spans="1:4" x14ac:dyDescent="0.25">
      <c r="A16" s="34" t="str">
        <f t="shared" si="0"/>
        <v>Agressivo-HÍBRIDOS</v>
      </c>
      <c r="B16" s="34" t="s">
        <v>32</v>
      </c>
      <c r="C16" s="35" t="s">
        <v>25</v>
      </c>
      <c r="D16" s="25">
        <v>0.1</v>
      </c>
    </row>
    <row r="17" spans="1:4" x14ac:dyDescent="0.25">
      <c r="A17" s="34" t="str">
        <f t="shared" si="0"/>
        <v>Agressivo-FOFs</v>
      </c>
      <c r="B17" s="34" t="s">
        <v>32</v>
      </c>
      <c r="C17" s="35" t="s">
        <v>26</v>
      </c>
      <c r="D17" s="25">
        <v>0.1</v>
      </c>
    </row>
    <row r="18" spans="1:4" x14ac:dyDescent="0.25">
      <c r="A18" s="34" t="str">
        <f t="shared" si="0"/>
        <v>Agressivo-DESENVOLVIMENTO</v>
      </c>
      <c r="B18" s="34" t="s">
        <v>32</v>
      </c>
      <c r="C18" s="35" t="s">
        <v>27</v>
      </c>
      <c r="D18" s="25">
        <v>0.2</v>
      </c>
    </row>
    <row r="19" spans="1:4" x14ac:dyDescent="0.25">
      <c r="A19" s="34" t="str">
        <f t="shared" si="0"/>
        <v>Agressivo-HOTELARIAS</v>
      </c>
      <c r="B19" s="34" t="s">
        <v>32</v>
      </c>
      <c r="C19" s="35" t="s">
        <v>28</v>
      </c>
      <c r="D19" s="2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12</vt:i4>
      </vt:variant>
    </vt:vector>
  </HeadingPairs>
  <TitlesOfParts>
    <vt:vector size="15" baseType="lpstr">
      <vt:lpstr>SIMULADOR</vt:lpstr>
      <vt:lpstr>SIMULADOR APORTE</vt:lpstr>
      <vt:lpstr>Planilha2</vt:lpstr>
      <vt:lpstr>'SIMULADOR APORTE'!Aporte</vt:lpstr>
      <vt:lpstr>Aporte</vt:lpstr>
      <vt:lpstr>'SIMULADOR APORTE'!Patrimonio</vt:lpstr>
      <vt:lpstr>Patrimonio</vt:lpstr>
      <vt:lpstr>'SIMULADOR APORTE'!Qtd_anos</vt:lpstr>
      <vt:lpstr>Qtd_anos</vt:lpstr>
      <vt:lpstr>'SIMULADOR APORTE'!Rendimento</vt:lpstr>
      <vt:lpstr>Rendimento</vt:lpstr>
      <vt:lpstr>'SIMULADOR APORTE'!rendimento_carteira</vt:lpstr>
      <vt:lpstr>rendimento_carteira</vt:lpstr>
      <vt:lpstr>'SIMULADOR APORTE'!Taxa_mensal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Rafaella Aparecida dos Santos Maia</dc:creator>
  <cp:lastModifiedBy>Rafaella Aparecida dos Santos Maia</cp:lastModifiedBy>
  <dcterms:created xsi:type="dcterms:W3CDTF">2026-10-12T00:11:33Z</dcterms:created>
  <dcterms:modified xsi:type="dcterms:W3CDTF">2026-10-12T20:03:15Z</dcterms:modified>
</cp:coreProperties>
</file>